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_Files\HourByHour\Excel\"/>
    </mc:Choice>
  </mc:AlternateContent>
  <xr:revisionPtr revIDLastSave="0" documentId="13_ncr:1_{C7AF7A54-FCC4-4374-BAB2-435D5A7298E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474" sheetId="1" r:id="rId1"/>
    <sheet name="474StarvedBlocked" sheetId="4" r:id="rId2"/>
    <sheet name="471" sheetId="2" r:id="rId3"/>
    <sheet name="471StarvedBlocked" sheetId="5" r:id="rId4"/>
    <sheet name="Home" sheetId="3" r:id="rId5"/>
    <sheet name="424" sheetId="6" r:id="rId6"/>
    <sheet name="429" sheetId="7" r:id="rId7"/>
    <sheet name="458" sheetId="9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4" l="1" a="1"/>
  <c r="C2" i="4" s="1"/>
  <c r="D2" i="4" s="1"/>
  <c r="E26" i="4" a="1"/>
  <c r="E26" i="4" s="1"/>
  <c r="A22" i="1" a="1"/>
  <c r="A22" i="1" s="1"/>
  <c r="A21" i="2" a="1"/>
  <c r="A21" i="2" s="1"/>
  <c r="A21" i="6" a="1"/>
  <c r="A21" i="6" s="1"/>
  <c r="A21" i="9" a="1"/>
  <c r="A21" i="9" s="1"/>
  <c r="A21" i="7" a="1"/>
  <c r="A21" i="7" s="1"/>
  <c r="C2" i="5" a="1"/>
  <c r="C2" i="5" s="1"/>
  <c r="D2" i="5" s="1"/>
  <c r="C12" i="5" a="1"/>
  <c r="C12" i="5" s="1"/>
  <c r="D12" i="5" s="1"/>
  <c r="C12" i="4" a="1"/>
  <c r="C12" i="4" s="1"/>
  <c r="D12" i="4" s="1"/>
  <c r="C13" i="5" a="1"/>
  <c r="C13" i="5" s="1"/>
  <c r="D13" i="5" s="1"/>
  <c r="C3" i="5" a="1"/>
  <c r="C3" i="5" s="1"/>
  <c r="D3" i="5" s="1"/>
  <c r="C13" i="4" a="1"/>
  <c r="C13" i="4" s="1"/>
  <c r="D13" i="4" s="1"/>
  <c r="C3" i="4" a="1"/>
  <c r="C3" i="4" s="1"/>
  <c r="B3" i="3"/>
  <c r="B2" i="3"/>
  <c r="B17" i="3" l="1"/>
  <c r="C17" i="3"/>
  <c r="B16" i="3"/>
  <c r="C16" i="3"/>
  <c r="C18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<sst xmlns="http://schemas.openxmlformats.org/spreadsheetml/2006/main" count="253" uniqueCount="49">
  <si>
    <t>Monday</t>
  </si>
  <si>
    <t>Tuesday</t>
  </si>
  <si>
    <t>Wednesday</t>
  </si>
  <si>
    <t>Thursday</t>
  </si>
  <si>
    <t>Friday</t>
  </si>
  <si>
    <t>Saturday</t>
  </si>
  <si>
    <t>Sunday</t>
  </si>
  <si>
    <t>5am-6am</t>
  </si>
  <si>
    <t>6am-7am</t>
  </si>
  <si>
    <t>7am-8am</t>
  </si>
  <si>
    <t>8am-9am</t>
  </si>
  <si>
    <t>9am-10am</t>
  </si>
  <si>
    <t>10am-11am</t>
  </si>
  <si>
    <t>11am-12pm</t>
  </si>
  <si>
    <t>12pm-1pm</t>
  </si>
  <si>
    <t>1pm-2pm</t>
  </si>
  <si>
    <t>2pm-3pm</t>
  </si>
  <si>
    <t>3pm-4pm</t>
  </si>
  <si>
    <t>4pm-5pm</t>
  </si>
  <si>
    <t>5pm-6pm</t>
  </si>
  <si>
    <t>6pm-7pm</t>
  </si>
  <si>
    <t>7pm-8pm</t>
  </si>
  <si>
    <t>9pm-10pm</t>
  </si>
  <si>
    <t>12am-1am</t>
  </si>
  <si>
    <t>1am-2am</t>
  </si>
  <si>
    <t>2am-3am</t>
  </si>
  <si>
    <t>3am-4am</t>
  </si>
  <si>
    <t>4am-5am</t>
  </si>
  <si>
    <t>8pm-9pm</t>
  </si>
  <si>
    <t>10pm-11am</t>
  </si>
  <si>
    <t>11am-12am</t>
  </si>
  <si>
    <t>Part Count From Press</t>
  </si>
  <si>
    <t>Line Number</t>
  </si>
  <si>
    <t>Top Parts Count</t>
  </si>
  <si>
    <t>Least Part Count</t>
  </si>
  <si>
    <t>Metric</t>
  </si>
  <si>
    <t>Week Day</t>
  </si>
  <si>
    <t xml:space="preserve">shift </t>
  </si>
  <si>
    <t>Starved Min</t>
  </si>
  <si>
    <t>Starved Sec</t>
  </si>
  <si>
    <t>Shift</t>
  </si>
  <si>
    <t>Shift 1</t>
  </si>
  <si>
    <t>Shift 2</t>
  </si>
  <si>
    <t>Total:</t>
  </si>
  <si>
    <t>Total</t>
  </si>
  <si>
    <t>Shift2</t>
  </si>
  <si>
    <t>Blocked Sec</t>
  </si>
  <si>
    <t>Blocked Min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</si>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</sst>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2" fontId="0" fillId="0" borderId="0" xfId="0" applyNumberFormat="1"/>
    <xf numFmtId="164" fontId="0" fillId="0" borderId="0" xfId="0" applyNumberFormat="1" applyAlignment="1">
      <alignment wrapText="1"/>
    </xf>
  </cellXfs>
  <cellStyles count="1">
    <cellStyle name="Normal" xfId="0" builtinId="0"/>
  </cellStyles>
  <dxfs count="2">
    <dxf>
      <numFmt numFmtId="2" formatCode="0.00"/>
    </dxf>
    <dxf>
      <numFmt numFmtId="164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RSLINX" ddeTopic="474PRESS">
    <ddeItems>
      <ddeItem name="N100:3,L1,C1" advise="1">
        <values>
          <value>
            <val>5008</val>
          </value>
        </values>
      </ddeItem>
      <ddeItem name="StdDocumentName" ole="1" advise="1"/>
    </ddeItems>
  </dd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RSLINX" ddeTopic="474ORIENT">
    <ddeItems>
      <ddeItem name="StdDocumentName" ole="1" advise="1"/>
      <ddeItem name="T21:13.ACC,L1,C1" advise="1">
        <values>
          <value>
            <val>0</val>
          </value>
        </values>
      </ddeItem>
      <ddeItem name="T21:20.ACC,L1,C1" advise="1">
        <values>
          <value>
            <val>7</val>
          </value>
        </values>
      </ddeItem>
      <ddeItem name="T21:21.ACC,L1,C1" advise="1">
        <values>
          <value>
            <val>30</val>
          </value>
        </values>
      </ddeItem>
      <ddeItem name="T21:8.ACC,L1,C1" advise="1">
        <values>
          <value>
            <val>0</val>
          </value>
        </values>
      </ddeItem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RSLINX" ddeTopic="471BLISS">
    <ddeItems>
      <ddeItem name="N100:3,L1,C1" advise="1">
        <values>
          <value>
            <val>13310</val>
          </value>
        </values>
      </ddeItem>
      <ddeItem name="StdDocumentName" ole="1" advise="1"/>
    </ddeItems>
  </ddeLin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RSLINX" ddeTopic="424RIM">
    <ddeItems>
      <ddeItem name="N7:0,L1,C1" advise="1">
        <values>
          <value>
            <val>0</val>
          </value>
        </values>
      </ddeItem>
      <ddeItem name="N800:3,L1,C1" advise="1">
        <values>
          <value>
            <val>1265</val>
          </value>
        </values>
      </ddeItem>
      <ddeItem name="StdDocumentName" ole="1" advise="1"/>
    </ddeItems>
  </ddeLin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RSLINX" ddeTopic="429EXP">
    <ddeItems>
      <ddeItem name="N600:3,L1,C1" advise="1">
        <values>
          <value>
            <val>21413</val>
          </value>
        </values>
      </ddeItem>
      <ddeItem name="StdDocumentName" ole="1" advise="1"/>
    </ddeItems>
  </ddeLin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ddeLink xmlns:r="http://schemas.openxmlformats.org/officeDocument/2006/relationships" ddeService="RSLINX" ddeTopic="_458_Pierce_Coin_Trim_PLC">
    <ddeItems>
      <ddeItem name="DC_Data[3],L1,C1" advise="1">
        <values>
          <value>
            <val>3599</val>
          </value>
        </values>
      </ddeItem>
      <ddeItem name="StdDocumentName" ole="1" advise="1"/>
    </ddeItems>
  </ddeLin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D3E403-852B-4947-9633-FF508953C580}" name="Table1" displayName="Table1" ref="A1:Y8" totalsRowShown="0">
  <autoFilter ref="A1:Y8" xr:uid="{35D3E403-852B-4947-9633-FF508953C580}"/>
  <tableColumns count="25">
    <tableColumn id="1" xr3:uid="{E04F2901-BBE3-4440-896B-EAAE99F8D806}" name="Week Day"/>
    <tableColumn id="2" xr3:uid="{94F5C178-5903-47F0-A390-9355986ECD5C}" name="6am-7am"/>
    <tableColumn id="3" xr3:uid="{1091FD68-4B1C-4DB0-A270-586F92DE48AF}" name="7am-8am"/>
    <tableColumn id="4" xr3:uid="{5DA7E466-4EC3-42E2-BEDF-80BF6E353926}" name="8am-9am"/>
    <tableColumn id="5" xr3:uid="{B2140C67-385D-4D41-8D41-A364956745C8}" name="9am-10am"/>
    <tableColumn id="6" xr3:uid="{0B77D8FA-9634-4924-B1D4-96C0DBE9C114}" name="10am-11am"/>
    <tableColumn id="7" xr3:uid="{F0EAE7CD-F30B-4E07-BDAE-D5A18E9A947F}" name="11am-12pm"/>
    <tableColumn id="8" xr3:uid="{808099B9-32E2-44A9-81DD-C16FEA318135}" name="12pm-1pm"/>
    <tableColumn id="9" xr3:uid="{CC446F43-9EA4-403C-A79B-52E947739F4F}" name="1pm-2pm"/>
    <tableColumn id="10" xr3:uid="{8B36A67C-FD74-4E87-A708-3450A798BF6A}" name="2pm-3pm"/>
    <tableColumn id="11" xr3:uid="{C3AF72B6-4C3D-4FAD-9107-9887B7C8A325}" name="3pm-4pm"/>
    <tableColumn id="12" xr3:uid="{B3DFA920-D23A-4FBE-8E11-4B0A2BFBC716}" name="4pm-5pm"/>
    <tableColumn id="13" xr3:uid="{2DDE99F6-D188-4BDD-8533-E88B568157F3}" name="5pm-6pm"/>
    <tableColumn id="14" xr3:uid="{BF165C44-09B8-4561-8AAA-9377268E39B0}" name="6pm-7pm"/>
    <tableColumn id="15" xr3:uid="{79EA0B73-5E7B-4105-82B1-EBBAAD8097A6}" name="7pm-8pm"/>
    <tableColumn id="16" xr3:uid="{3E7ECE2F-6E14-4D2C-847E-5AA6678747C4}" name="8pm-9pm"/>
    <tableColumn id="17" xr3:uid="{BD2E6813-0F6F-482E-8298-2F05A7F55035}" name="9pm-10pm"/>
    <tableColumn id="18" xr3:uid="{F4F6649D-C8C4-4651-ACF8-087FCED8AFFE}" name="10pm-11am"/>
    <tableColumn id="19" xr3:uid="{F76760FA-1C26-403C-83A3-09AC11C006C2}" name="11am-12am"/>
    <tableColumn id="20" xr3:uid="{D5596DA2-7541-4074-8FD9-F4B373CA0505}" name="12am-1am"/>
    <tableColumn id="21" xr3:uid="{78B23FB4-C8BD-4359-9A8A-9B5162879DA0}" name="1am-2am"/>
    <tableColumn id="22" xr3:uid="{6733569F-F9C3-4362-9098-257B685553AC}" name="2am-3am"/>
    <tableColumn id="23" xr3:uid="{C7E96156-28C9-41EB-A2F1-2F7ACDD478C6}" name="3am-4am"/>
    <tableColumn id="24" xr3:uid="{5DF278FB-397F-44A6-B6A3-20E5AB3E297A}" name="4am-5am"/>
    <tableColumn id="25" xr3:uid="{F410B007-0671-41E5-A789-5E680A466EE8}" name="5am-6a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3B4FB-F516-44B5-A35C-786525D07ECA}" name="Table6" displayName="Table6" ref="M11:N18" totalsRowShown="0">
  <autoFilter ref="M11:N18" xr:uid="{2E93B4FB-F516-44B5-A35C-786525D07ECA}"/>
  <tableColumns count="2">
    <tableColumn id="1" xr3:uid="{04741337-88A8-4495-8551-0E9DFAB7F153}" name="Week Day" dataDxfId="1"/>
    <tableColumn id="2" xr3:uid="{CD833D4C-7BF3-4C27-A126-9BC09524F65A}" name="Total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C5D319-2D64-4F34-8AF9-5A0A46F8B504}" name="Table7" displayName="Table7" ref="M1:N8" totalsRowShown="0">
  <autoFilter ref="M1:N8" xr:uid="{F3C5D319-2D64-4F34-8AF9-5A0A46F8B504}"/>
  <tableColumns count="2">
    <tableColumn id="1" xr3:uid="{3ADD4A17-02F9-49FC-BB3D-1237270CF6A8}" name="Week Day"/>
    <tableColumn id="2" xr3:uid="{DDEC4D05-1B18-4066-8912-F2BF89E241AF}" name="Total" dataDxfId="0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6D8007-4DDD-4DF5-A74E-BD6350D95642}" name="Table2" displayName="Table2" ref="A1:Y8" totalsRowShown="0">
  <autoFilter ref="A1:Y8" xr:uid="{1F6D8007-4DDD-4DF5-A74E-BD6350D95642}"/>
  <tableColumns count="25">
    <tableColumn id="1" xr3:uid="{75923321-696C-4D6D-949B-555B062B598E}" name="Week Day"/>
    <tableColumn id="2" xr3:uid="{59E1FBA6-FF39-4A76-83ED-F3EE77C88EFF}" name="6am-7am"/>
    <tableColumn id="3" xr3:uid="{3C4B4C68-E451-4AA0-AC44-F52DD717CA20}" name="7am-8am"/>
    <tableColumn id="4" xr3:uid="{D5B40CB5-B6DD-4C8B-B71E-B2F3F65F9E7A}" name="8am-9am"/>
    <tableColumn id="5" xr3:uid="{6CA1C199-0E0C-4EF3-A668-B9D7AC97A111}" name="9am-10am"/>
    <tableColumn id="6" xr3:uid="{392B7C95-E7EC-4DC3-AC6F-A476974ADEB6}" name="10am-11am"/>
    <tableColumn id="7" xr3:uid="{B91F1BD2-8213-4ABB-80C4-A5DBA8B5F3A1}" name="11am-12pm"/>
    <tableColumn id="8" xr3:uid="{CBE0E761-4790-4449-89DA-EC01C5E674FD}" name="12pm-1pm"/>
    <tableColumn id="9" xr3:uid="{8F277E0D-5B2B-46DC-961A-AE6BB8C09462}" name="1pm-2pm"/>
    <tableColumn id="10" xr3:uid="{C8388806-811F-47B9-9493-E84BFEEAC419}" name="2pm-3pm"/>
    <tableColumn id="11" xr3:uid="{EA90EBE7-D2FD-47F7-95C6-A370EFEDD30D}" name="3pm-4pm"/>
    <tableColumn id="12" xr3:uid="{2BF283E1-4B88-4F0A-84AA-AD845BF4C163}" name="4pm-5pm"/>
    <tableColumn id="13" xr3:uid="{07E0797F-6DDA-4781-8BBD-7567860B0207}" name="5pm-6pm"/>
    <tableColumn id="14" xr3:uid="{4B858A6B-8D74-4509-9477-A2DDA1AE9223}" name="6pm-7pm"/>
    <tableColumn id="15" xr3:uid="{DD3B442A-0ED3-41F4-A350-7FB88757AB9F}" name="7pm-8pm"/>
    <tableColumn id="16" xr3:uid="{89FDCF86-D5AC-4509-B0BD-BC4FBA877D8D}" name="8pm-9pm"/>
    <tableColumn id="17" xr3:uid="{3AA771C4-B890-4BF8-A71E-61C192269196}" name="9pm-10pm"/>
    <tableColumn id="18" xr3:uid="{B7181C0D-51F7-4989-9AC8-15755F73A4C1}" name="10pm-11am"/>
    <tableColumn id="19" xr3:uid="{265A5DB7-3E1C-4553-A201-729D32EE1C07}" name="11am-12am"/>
    <tableColumn id="20" xr3:uid="{78DA78A1-4955-4C0C-A554-1CE9F11C83F3}" name="12am-1am"/>
    <tableColumn id="21" xr3:uid="{9937576E-007B-4B47-80EA-DAC6E0ACADE1}" name="1am-2am"/>
    <tableColumn id="22" xr3:uid="{BD05716C-D968-46BF-B722-E66F44AC1652}" name="2am-3am"/>
    <tableColumn id="23" xr3:uid="{0B0B6157-FF67-4D9D-A2C8-BCE8190983D5}" name="3am-4am"/>
    <tableColumn id="24" xr3:uid="{F6A17C27-6C7A-4FB7-86C8-7EE032D8418A}" name="4am-5am"/>
    <tableColumn id="25" xr3:uid="{E26D2C4A-816C-4BBE-9025-1E3801242839}" name="5am-6a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CAEF93-A088-4B8E-BBF3-DD50D0800C02}" name="Table24" displayName="Table24" ref="A1:Y8" totalsRowShown="0">
  <autoFilter ref="A1:Y8" xr:uid="{95CAEF93-A088-4B8E-BBF3-DD50D0800C02}"/>
  <tableColumns count="25">
    <tableColumn id="1" xr3:uid="{A29B286E-487D-47B3-A2F7-7E6CBDBAAD62}" name="Week Day"/>
    <tableColumn id="2" xr3:uid="{D6833AF3-AB43-4DA8-9D4E-3870EDAED32B}" name="6am-7am"/>
    <tableColumn id="3" xr3:uid="{E65EC909-D277-4E53-B6D1-4E5BA02AD753}" name="7am-8am"/>
    <tableColumn id="4" xr3:uid="{4A73E2CE-73F6-42FE-B083-572C4B8D10ED}" name="8am-9am"/>
    <tableColumn id="5" xr3:uid="{F8D5B652-6169-43A7-BB4D-AD2E584C5569}" name="9am-10am"/>
    <tableColumn id="6" xr3:uid="{144DF790-9BAB-40BF-A619-EEFDCD06F5A5}" name="10am-11am"/>
    <tableColumn id="7" xr3:uid="{EC7DFA26-D71A-4D66-88E8-F4352F0A8905}" name="11am-12pm"/>
    <tableColumn id="8" xr3:uid="{3F7DD295-1D3A-453F-9E8C-5C9FBD9F1693}" name="12pm-1pm"/>
    <tableColumn id="9" xr3:uid="{D0768DCF-6E34-46BC-AB1C-EECD04EFE9E8}" name="1pm-2pm"/>
    <tableColumn id="10" xr3:uid="{C96AE5F3-736B-47E2-AFCC-CA70C5D75EA9}" name="2pm-3pm"/>
    <tableColumn id="11" xr3:uid="{37E64474-89E4-4ADE-98F3-ADB571983B2F}" name="3pm-4pm"/>
    <tableColumn id="12" xr3:uid="{F4D4A2B4-CECC-4971-A65B-7C64F4EAEF69}" name="4pm-5pm"/>
    <tableColumn id="13" xr3:uid="{6A291A88-A3EA-458E-8838-79963720FA70}" name="5pm-6pm"/>
    <tableColumn id="14" xr3:uid="{C7B7C64A-E541-4049-B12F-37551D5806FF}" name="6pm-7pm"/>
    <tableColumn id="15" xr3:uid="{F113A1FA-3CBE-489B-9F1A-68125D5E9947}" name="7pm-8pm"/>
    <tableColumn id="16" xr3:uid="{BA19B440-51F3-4FE4-8427-AEFB522CC3DF}" name="8pm-9pm"/>
    <tableColumn id="17" xr3:uid="{41EC67AE-901B-481E-842F-FE32B1D39C33}" name="9pm-10pm"/>
    <tableColumn id="18" xr3:uid="{7A53F218-FA31-430B-B7C9-47CE6065C7AF}" name="10pm-11am"/>
    <tableColumn id="19" xr3:uid="{492D92B5-4552-4C60-8E30-C21DF2A6F015}" name="11am-12am"/>
    <tableColumn id="20" xr3:uid="{F6BEB87B-3026-4933-BC47-DF05AE6B8F4A}" name="12am-1am"/>
    <tableColumn id="21" xr3:uid="{0DEA0584-194B-4A5E-95D5-58BF9780C852}" name="1am-2am"/>
    <tableColumn id="22" xr3:uid="{2958425F-8935-4F02-9B3D-E5026093DB52}" name="2am-3am"/>
    <tableColumn id="23" xr3:uid="{017EE68E-06E9-498A-8B22-812531359854}" name="3am-4am"/>
    <tableColumn id="24" xr3:uid="{9E899A38-676E-40CB-8767-1BDA881FDE39}" name="4am-5am"/>
    <tableColumn id="25" xr3:uid="{349BFE14-0D71-4178-8565-0CC6839839DB}" name="5am-6a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382549-05BC-4766-8EB9-9757920A2B80}" name="Table245" displayName="Table245" ref="A1:Y8" totalsRowShown="0">
  <autoFilter ref="A1:Y8" xr:uid="{1A382549-05BC-4766-8EB9-9757920A2B80}"/>
  <tableColumns count="25">
    <tableColumn id="1" xr3:uid="{1837F603-57B6-4C07-977B-86C2E7125353}" name="Week Day"/>
    <tableColumn id="2" xr3:uid="{2129BCB4-18AF-47FE-8C44-41094495F7C7}" name="6am-7am"/>
    <tableColumn id="3" xr3:uid="{F15B4CE3-8224-443A-9796-84BC8683C480}" name="7am-8am"/>
    <tableColumn id="4" xr3:uid="{09BF194F-18B2-46EA-A75B-F80290217925}" name="8am-9am"/>
    <tableColumn id="5" xr3:uid="{8C415491-1BBD-4352-8976-948C89493F5D}" name="9am-10am"/>
    <tableColumn id="6" xr3:uid="{796CD104-9813-4814-A46E-84D7AAA59246}" name="10am-11am"/>
    <tableColumn id="7" xr3:uid="{C70DD415-CC94-4086-BAF3-880B7969AF5F}" name="11am-12pm"/>
    <tableColumn id="8" xr3:uid="{CCAA4634-B116-4C93-85AF-F5B8E3C78BF9}" name="12pm-1pm"/>
    <tableColumn id="9" xr3:uid="{0EA1B700-1003-4858-A027-4B426F6802DC}" name="1pm-2pm"/>
    <tableColumn id="10" xr3:uid="{D952ABDC-1630-4395-928E-F376A5676659}" name="2pm-3pm"/>
    <tableColumn id="11" xr3:uid="{99A8CAF1-1C54-4F8E-B2DB-DD9994B863AD}" name="3pm-4pm"/>
    <tableColumn id="12" xr3:uid="{89585769-A8CD-4F7B-BF8D-1FCFBCCF07E3}" name="4pm-5pm"/>
    <tableColumn id="13" xr3:uid="{899AF8CD-2363-4D73-A31F-08534E9BECA7}" name="5pm-6pm"/>
    <tableColumn id="14" xr3:uid="{33D0E417-416D-4D48-B0B7-635CF7D8BE3E}" name="6pm-7pm"/>
    <tableColumn id="15" xr3:uid="{FBD10536-F444-40FE-8AD5-4043A042A742}" name="7pm-8pm"/>
    <tableColumn id="16" xr3:uid="{F056F3C9-848F-4E81-8B31-15392289097E}" name="8pm-9pm"/>
    <tableColumn id="17" xr3:uid="{991FC7C3-4053-4DEE-B00E-11983FF79AC6}" name="9pm-10pm"/>
    <tableColumn id="18" xr3:uid="{35A4EBBD-25BD-446B-A4AD-53D1C6ACEB59}" name="10pm-11am"/>
    <tableColumn id="19" xr3:uid="{57CBE2FE-E713-4026-8B00-CAC6287DB036}" name="11am-12am"/>
    <tableColumn id="20" xr3:uid="{8FC691E7-0ECD-41F7-9D3E-2226016A09E4}" name="12am-1am"/>
    <tableColumn id="21" xr3:uid="{C7B4CE32-DE65-472E-AD23-0FCB0867F8F1}" name="1am-2am"/>
    <tableColumn id="22" xr3:uid="{0CA94B44-3750-4264-9195-5A1AF6E872FA}" name="2am-3am"/>
    <tableColumn id="23" xr3:uid="{1CC1AFBF-F854-44A6-9EF0-0179965EAAF7}" name="3am-4am"/>
    <tableColumn id="24" xr3:uid="{30DDC6DC-8772-4167-8D1F-7E51CDC05477}" name="4am-5am"/>
    <tableColumn id="25" xr3:uid="{F4BB6EF0-E5EE-49A9-9F65-A7272F712667}" name="5am-6a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315369-E193-4CDE-97B6-FEA05DD0FE79}" name="Table2456" displayName="Table2456" ref="A1:Y8" totalsRowShown="0">
  <autoFilter ref="A1:Y8" xr:uid="{59315369-E193-4CDE-97B6-FEA05DD0FE79}"/>
  <tableColumns count="25">
    <tableColumn id="1" xr3:uid="{79E134A1-8B28-4A7A-B522-CB4E48211989}" name="Week Day"/>
    <tableColumn id="2" xr3:uid="{89A98FCD-CA38-461E-8A90-6DDF45A325FA}" name="6am-7am"/>
    <tableColumn id="3" xr3:uid="{C296F965-D5F9-4F21-AAF7-A43B2AC9B260}" name="7am-8am"/>
    <tableColumn id="4" xr3:uid="{D1C4D8FA-E5A7-4552-9F2F-655249855351}" name="8am-9am"/>
    <tableColumn id="5" xr3:uid="{373018A7-294D-42A2-A3AA-59DE6AA961F6}" name="9am-10am"/>
    <tableColumn id="6" xr3:uid="{79D48299-3B5D-4D9C-B432-48B63AB51F86}" name="10am-11am"/>
    <tableColumn id="7" xr3:uid="{92843FE6-8764-4183-AE7D-231467F37A89}" name="11am-12pm"/>
    <tableColumn id="8" xr3:uid="{4F052D22-45A4-4F27-8ED6-DF844CB7D8BD}" name="12pm-1pm"/>
    <tableColumn id="9" xr3:uid="{623E8CD9-83D1-4D86-ADB0-07042D5703FE}" name="1pm-2pm"/>
    <tableColumn id="10" xr3:uid="{24286DA8-BC9A-4DAA-8E19-E9F5BB343A8F}" name="2pm-3pm"/>
    <tableColumn id="11" xr3:uid="{DD7E64E1-1B61-4F8A-85A5-4047F383C7D0}" name="3pm-4pm"/>
    <tableColumn id="12" xr3:uid="{8D8FBAE5-5C60-4D2E-B53F-466303F0F760}" name="4pm-5pm"/>
    <tableColumn id="13" xr3:uid="{78F80B7A-E492-4C80-B458-31EEABFEB5DD}" name="5pm-6pm"/>
    <tableColumn id="14" xr3:uid="{8521C5CB-996D-4EE8-8487-F911A6B59228}" name="6pm-7pm"/>
    <tableColumn id="15" xr3:uid="{882C6498-F824-42E7-B36B-E21C87C32ED6}" name="7pm-8pm"/>
    <tableColumn id="16" xr3:uid="{A9013295-6344-493F-A200-0AE47841A67B}" name="8pm-9pm"/>
    <tableColumn id="17" xr3:uid="{26E3EC7F-7BBA-4BE3-9BED-DAB5FDFE0603}" name="9pm-10pm"/>
    <tableColumn id="18" xr3:uid="{CD2F66FF-D329-42DC-AD35-CA82E24B37BE}" name="10pm-11am"/>
    <tableColumn id="19" xr3:uid="{B229AE73-9297-4F9B-AA06-0CAF4A4809BC}" name="11am-12am"/>
    <tableColumn id="20" xr3:uid="{63BB3751-BA3D-4144-B7AF-6D9B7E3D1341}" name="12am-1am"/>
    <tableColumn id="21" xr3:uid="{A9B8981B-AF5E-448C-922E-ABA8C3E5BA71}" name="1am-2am"/>
    <tableColumn id="22" xr3:uid="{88E46F3F-7685-4EEF-A108-E432DC9A26CC}" name="2am-3am"/>
    <tableColumn id="23" xr3:uid="{8D7786A2-FFEF-4FF0-9DA8-ECD703E3DA4D}" name="3am-4am"/>
    <tableColumn id="24" xr3:uid="{E3EC49B4-BDC2-4647-94DB-915EA1BA5FAA}" name="4am-5am"/>
    <tableColumn id="25" xr3:uid="{D4A8F6DB-918A-4075-856A-B5FADF685514}" name="5am-6a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22"/>
  <sheetViews>
    <sheetView workbookViewId="0">
      <selection activeCell="A22" sqref="A22"/>
    </sheetView>
  </sheetViews>
  <sheetFormatPr defaultRowHeight="15" x14ac:dyDescent="0.25"/>
  <cols>
    <col min="1" max="1" width="20.7109375" bestFit="1" customWidth="1"/>
    <col min="2" max="4" width="11.28515625" customWidth="1"/>
    <col min="5" max="5" width="12.28515625" customWidth="1"/>
    <col min="6" max="6" width="13.28515625" customWidth="1"/>
    <col min="7" max="7" width="13.42578125" customWidth="1"/>
    <col min="8" max="8" width="12.5703125" customWidth="1"/>
    <col min="9" max="16" width="11.5703125" customWidth="1"/>
    <col min="17" max="17" width="12.5703125" customWidth="1"/>
    <col min="18" max="18" width="13.42578125" customWidth="1"/>
    <col min="19" max="19" width="13.28515625" customWidth="1"/>
    <col min="20" max="20" width="12.28515625" customWidth="1"/>
    <col min="21" max="25" width="11.28515625" customWidth="1"/>
  </cols>
  <sheetData>
    <row r="1" spans="1:25" x14ac:dyDescent="0.25">
      <c r="A1" t="s">
        <v>36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28</v>
      </c>
      <c r="Q1" t="s">
        <v>22</v>
      </c>
      <c r="R1" t="s">
        <v>29</v>
      </c>
      <c r="S1" t="s">
        <v>30</v>
      </c>
      <c r="T1" t="s">
        <v>23</v>
      </c>
      <c r="U1" t="s">
        <v>24</v>
      </c>
      <c r="V1" t="s">
        <v>25</v>
      </c>
      <c r="W1" t="s">
        <v>26</v>
      </c>
      <c r="X1" s="1" t="s">
        <v>27</v>
      </c>
      <c r="Y1" t="s">
        <v>7</v>
      </c>
    </row>
    <row r="2" spans="1:25" x14ac:dyDescent="0.25">
      <c r="A2" t="s">
        <v>0</v>
      </c>
      <c r="B2">
        <v>18</v>
      </c>
      <c r="C2">
        <v>203</v>
      </c>
      <c r="D2">
        <v>203</v>
      </c>
      <c r="E2">
        <v>251</v>
      </c>
      <c r="F2">
        <v>239</v>
      </c>
      <c r="G2">
        <v>210</v>
      </c>
      <c r="H2">
        <v>280</v>
      </c>
      <c r="I2">
        <v>230</v>
      </c>
      <c r="J2">
        <v>217</v>
      </c>
      <c r="K2">
        <v>242</v>
      </c>
      <c r="L2">
        <v>150</v>
      </c>
      <c r="M2">
        <v>229</v>
      </c>
      <c r="N2">
        <v>232</v>
      </c>
      <c r="O2">
        <v>293</v>
      </c>
      <c r="P2">
        <v>284</v>
      </c>
      <c r="Q2">
        <v>294</v>
      </c>
      <c r="R2">
        <v>283</v>
      </c>
      <c r="S2">
        <v>290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1</v>
      </c>
      <c r="B3">
        <v>261</v>
      </c>
      <c r="C3">
        <v>295</v>
      </c>
      <c r="D3">
        <v>292</v>
      </c>
      <c r="E3">
        <v>256</v>
      </c>
      <c r="F3">
        <v>263</v>
      </c>
      <c r="G3">
        <v>0</v>
      </c>
      <c r="H3">
        <v>0</v>
      </c>
      <c r="I3">
        <v>105</v>
      </c>
      <c r="J3">
        <v>285</v>
      </c>
      <c r="K3">
        <v>281</v>
      </c>
      <c r="L3">
        <v>120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281</v>
      </c>
      <c r="U3">
        <v>266</v>
      </c>
      <c r="V3">
        <v>281</v>
      </c>
      <c r="W3">
        <v>296</v>
      </c>
      <c r="X3">
        <v>213</v>
      </c>
      <c r="Y3">
        <v>247</v>
      </c>
    </row>
    <row r="4" spans="1:25" x14ac:dyDescent="0.25">
      <c r="A4" t="s">
        <v>2</v>
      </c>
      <c r="B4">
        <v>190</v>
      </c>
      <c r="C4">
        <v>263</v>
      </c>
      <c r="D4">
        <v>8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2</v>
      </c>
    </row>
    <row r="5" spans="1:25" x14ac:dyDescent="0.25">
      <c r="A5" t="s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10" spans="1:25" x14ac:dyDescent="0.25">
      <c r="B10">
        <v>164</v>
      </c>
      <c r="C10">
        <v>202</v>
      </c>
      <c r="D10">
        <v>40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2</v>
      </c>
    </row>
    <row r="11" spans="1:25" x14ac:dyDescent="0.25">
      <c r="B11">
        <v>0</v>
      </c>
      <c r="C11">
        <v>19</v>
      </c>
      <c r="D11">
        <v>299</v>
      </c>
      <c r="E11">
        <v>279</v>
      </c>
      <c r="F11">
        <v>267</v>
      </c>
      <c r="G11">
        <v>286</v>
      </c>
      <c r="H11">
        <v>274</v>
      </c>
      <c r="I11">
        <v>168</v>
      </c>
      <c r="J11">
        <v>227</v>
      </c>
      <c r="K11">
        <v>294</v>
      </c>
      <c r="L11">
        <v>291</v>
      </c>
      <c r="M11">
        <v>231</v>
      </c>
      <c r="N11">
        <v>265</v>
      </c>
      <c r="O11">
        <v>282</v>
      </c>
      <c r="P11">
        <v>285</v>
      </c>
      <c r="Q11">
        <v>285</v>
      </c>
      <c r="R11">
        <v>292</v>
      </c>
      <c r="S11">
        <v>289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25">
      <c r="B12">
        <v>130</v>
      </c>
      <c r="C12">
        <v>261</v>
      </c>
      <c r="D12">
        <v>271</v>
      </c>
      <c r="E12">
        <v>294</v>
      </c>
      <c r="F12">
        <v>282</v>
      </c>
      <c r="G12">
        <v>282</v>
      </c>
      <c r="H12">
        <v>292</v>
      </c>
      <c r="I12">
        <v>281</v>
      </c>
      <c r="J12">
        <v>281</v>
      </c>
      <c r="K12">
        <v>282</v>
      </c>
      <c r="L12">
        <v>284</v>
      </c>
      <c r="M12">
        <v>232</v>
      </c>
      <c r="N12">
        <v>232</v>
      </c>
      <c r="O12">
        <v>260</v>
      </c>
      <c r="P12">
        <v>292</v>
      </c>
      <c r="Q12">
        <v>293</v>
      </c>
      <c r="R12">
        <v>290</v>
      </c>
      <c r="S12">
        <v>294</v>
      </c>
      <c r="T12">
        <v>291</v>
      </c>
      <c r="U12">
        <v>293</v>
      </c>
      <c r="V12">
        <v>284</v>
      </c>
      <c r="W12">
        <v>250</v>
      </c>
      <c r="X12">
        <v>287</v>
      </c>
      <c r="Y12">
        <v>143</v>
      </c>
    </row>
    <row r="13" spans="1:25" x14ac:dyDescent="0.25">
      <c r="B13">
        <v>239</v>
      </c>
      <c r="C13">
        <v>275</v>
      </c>
      <c r="D13">
        <v>291</v>
      </c>
      <c r="E13">
        <v>290</v>
      </c>
      <c r="F13">
        <v>170</v>
      </c>
      <c r="G13">
        <v>0</v>
      </c>
      <c r="H13">
        <v>220</v>
      </c>
      <c r="I13">
        <v>284</v>
      </c>
      <c r="J13">
        <v>279</v>
      </c>
      <c r="K13">
        <v>227</v>
      </c>
      <c r="L13">
        <v>0</v>
      </c>
      <c r="M13">
        <v>0</v>
      </c>
      <c r="N13">
        <v>0</v>
      </c>
      <c r="O13">
        <v>0</v>
      </c>
      <c r="P13">
        <v>217</v>
      </c>
      <c r="Q13">
        <v>275</v>
      </c>
      <c r="R13">
        <v>292</v>
      </c>
      <c r="S13">
        <v>294</v>
      </c>
      <c r="T13">
        <v>290</v>
      </c>
      <c r="U13">
        <v>291</v>
      </c>
      <c r="V13">
        <v>292</v>
      </c>
      <c r="W13">
        <v>281</v>
      </c>
      <c r="X13">
        <v>284</v>
      </c>
      <c r="Y13">
        <v>243</v>
      </c>
    </row>
    <row r="14" spans="1:25" x14ac:dyDescent="0.25">
      <c r="B14">
        <v>230</v>
      </c>
      <c r="C14">
        <v>255</v>
      </c>
      <c r="D14">
        <v>277</v>
      </c>
      <c r="E14">
        <v>285</v>
      </c>
      <c r="F14">
        <v>265</v>
      </c>
      <c r="G14">
        <v>275</v>
      </c>
      <c r="H14">
        <v>285</v>
      </c>
      <c r="I14">
        <v>277</v>
      </c>
      <c r="J14">
        <v>280</v>
      </c>
      <c r="K14">
        <v>245</v>
      </c>
      <c r="L14">
        <v>95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280</v>
      </c>
      <c r="U14">
        <v>291</v>
      </c>
      <c r="V14">
        <v>285</v>
      </c>
      <c r="W14">
        <v>256</v>
      </c>
      <c r="X14">
        <v>283</v>
      </c>
      <c r="Y14">
        <v>229</v>
      </c>
    </row>
    <row r="15" spans="1:25" x14ac:dyDescent="0.25"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25"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21" spans="1:1" x14ac:dyDescent="0.25">
      <c r="A21" t="s">
        <v>31</v>
      </c>
    </row>
    <row r="22" spans="1:1" ht="18.75" x14ac:dyDescent="0.3">
      <c r="A22" s="2" cm="1">
        <f t="array" ref="A22">[1]!'N100:3,L1,C1'</f>
        <v>5008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1022E-A813-4B46-8778-3FB94344CF11}">
  <sheetPr codeName="Sheet4"/>
  <dimension ref="A1:N26"/>
  <sheetViews>
    <sheetView tabSelected="1" workbookViewId="0">
      <selection activeCell="C2" sqref="C2"/>
    </sheetView>
  </sheetViews>
  <sheetFormatPr defaultRowHeight="15" x14ac:dyDescent="0.25"/>
  <cols>
    <col min="1" max="1" width="12.42578125" bestFit="1" customWidth="1"/>
    <col min="2" max="2" width="6.85546875" bestFit="1" customWidth="1"/>
    <col min="3" max="3" width="11.140625" bestFit="1" customWidth="1"/>
    <col min="4" max="4" width="11.5703125" bestFit="1" customWidth="1"/>
    <col min="5" max="5" width="8.140625" bestFit="1" customWidth="1"/>
    <col min="6" max="6" width="8.5703125" bestFit="1" customWidth="1"/>
    <col min="7" max="7" width="11.42578125" bestFit="1" customWidth="1"/>
    <col min="8" max="8" width="9" bestFit="1" customWidth="1"/>
    <col min="9" max="9" width="6.42578125" bestFit="1" customWidth="1"/>
    <col min="10" max="10" width="8.7109375" bestFit="1" customWidth="1"/>
    <col min="11" max="11" width="7.42578125" bestFit="1" customWidth="1"/>
    <col min="13" max="13" width="12" customWidth="1"/>
    <col min="14" max="14" width="12.5703125" bestFit="1" customWidth="1"/>
  </cols>
  <sheetData>
    <row r="1" spans="1:14" x14ac:dyDescent="0.25">
      <c r="A1" s="3">
        <v>474</v>
      </c>
      <c r="B1" t="s">
        <v>37</v>
      </c>
      <c r="C1" t="s">
        <v>39</v>
      </c>
      <c r="D1" t="s">
        <v>38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M1" t="s">
        <v>36</v>
      </c>
      <c r="N1" t="s">
        <v>44</v>
      </c>
    </row>
    <row r="2" spans="1:14" x14ac:dyDescent="0.25">
      <c r="B2" t="s">
        <v>41</v>
      </c>
      <c r="C2" cm="1">
        <f t="array" ref="C2">[2]!'T21:21.ACC,L1,C1'</f>
        <v>30</v>
      </c>
      <c r="D2" s="4">
        <f>C2/60</f>
        <v>0.5</v>
      </c>
      <c r="E2" s="4">
        <v>0</v>
      </c>
      <c r="F2" s="4">
        <v>19.899999999999999</v>
      </c>
      <c r="G2" s="4">
        <v>0.5</v>
      </c>
      <c r="H2" s="4">
        <v>0</v>
      </c>
      <c r="I2" s="4">
        <v>0</v>
      </c>
      <c r="J2" s="4"/>
      <c r="K2" s="4"/>
      <c r="M2" t="s">
        <v>0</v>
      </c>
      <c r="N2">
        <v>0</v>
      </c>
    </row>
    <row r="3" spans="1:14" x14ac:dyDescent="0.25">
      <c r="B3" t="s">
        <v>42</v>
      </c>
      <c r="C3" cm="1">
        <f t="array" ref="C3">[2]!'T21:8.ACC,L1,C1'</f>
        <v>0</v>
      </c>
      <c r="D3" s="4">
        <v>0</v>
      </c>
      <c r="E3" s="4">
        <v>0</v>
      </c>
      <c r="F3" s="6">
        <v>0</v>
      </c>
      <c r="G3" s="4">
        <v>0</v>
      </c>
      <c r="H3" s="4">
        <v>0</v>
      </c>
      <c r="I3" s="4">
        <v>0</v>
      </c>
      <c r="J3" s="4"/>
      <c r="K3" s="4"/>
      <c r="M3" t="s">
        <v>1</v>
      </c>
      <c r="N3" s="5">
        <v>19.899999999999999</v>
      </c>
    </row>
    <row r="4" spans="1:14" x14ac:dyDescent="0.25">
      <c r="B4" t="s">
        <v>43</v>
      </c>
      <c r="D4" s="4"/>
      <c r="E4" s="4"/>
      <c r="F4" s="4"/>
      <c r="G4" s="4"/>
      <c r="H4" s="4"/>
      <c r="I4" s="4"/>
      <c r="J4" s="4"/>
      <c r="K4" s="4"/>
      <c r="M4" t="s">
        <v>2</v>
      </c>
      <c r="N4" s="5">
        <v>0.5</v>
      </c>
    </row>
    <row r="5" spans="1:14" x14ac:dyDescent="0.25">
      <c r="M5" t="s">
        <v>3</v>
      </c>
      <c r="N5" s="5">
        <v>0</v>
      </c>
    </row>
    <row r="6" spans="1:14" x14ac:dyDescent="0.25">
      <c r="M6" t="s">
        <v>4</v>
      </c>
      <c r="N6" s="5">
        <v>0</v>
      </c>
    </row>
    <row r="7" spans="1:14" x14ac:dyDescent="0.25">
      <c r="M7" t="s">
        <v>5</v>
      </c>
      <c r="N7" s="5">
        <v>0</v>
      </c>
    </row>
    <row r="8" spans="1:14" x14ac:dyDescent="0.25">
      <c r="M8" t="s">
        <v>6</v>
      </c>
      <c r="N8" s="5">
        <v>0</v>
      </c>
    </row>
    <row r="9" spans="1:14" x14ac:dyDescent="0.25">
      <c r="N9" s="5"/>
    </row>
    <row r="10" spans="1:14" x14ac:dyDescent="0.25">
      <c r="N10" s="5"/>
    </row>
    <row r="11" spans="1:14" x14ac:dyDescent="0.25">
      <c r="A11">
        <v>474</v>
      </c>
      <c r="B11" t="s">
        <v>40</v>
      </c>
      <c r="C11" t="s">
        <v>46</v>
      </c>
      <c r="D11" t="s">
        <v>47</v>
      </c>
      <c r="E11" t="s">
        <v>0</v>
      </c>
      <c r="F11" t="s">
        <v>1</v>
      </c>
      <c r="G11" t="s">
        <v>2</v>
      </c>
      <c r="H11" t="s">
        <v>3</v>
      </c>
      <c r="I11" t="s">
        <v>4</v>
      </c>
      <c r="J11" t="s">
        <v>5</v>
      </c>
      <c r="K11" t="s">
        <v>6</v>
      </c>
      <c r="M11" t="s">
        <v>36</v>
      </c>
      <c r="N11" s="5" t="s">
        <v>44</v>
      </c>
    </row>
    <row r="12" spans="1:14" x14ac:dyDescent="0.25">
      <c r="B12" t="s">
        <v>41</v>
      </c>
      <c r="C12" cm="1">
        <f t="array" ref="C12">[2]!'T21:20.ACC,L1,C1'</f>
        <v>7</v>
      </c>
      <c r="D12" s="4">
        <f>C12/60</f>
        <v>0.11666666666666667</v>
      </c>
      <c r="E12" s="4">
        <v>0</v>
      </c>
      <c r="F12" s="4">
        <v>1.2833333333333334</v>
      </c>
      <c r="G12" s="4">
        <v>0.11666666666666667</v>
      </c>
      <c r="H12" s="4">
        <v>0</v>
      </c>
      <c r="I12" s="4">
        <v>0</v>
      </c>
      <c r="J12" s="4"/>
      <c r="K12" s="4"/>
      <c r="L12" s="4"/>
      <c r="M12" s="4" t="s">
        <v>0</v>
      </c>
      <c r="N12">
        <v>2.15</v>
      </c>
    </row>
    <row r="13" spans="1:14" x14ac:dyDescent="0.25">
      <c r="B13" t="s">
        <v>45</v>
      </c>
      <c r="C13" cm="1">
        <f t="array" ref="C13">[2]!'T21:13.ACC,L1,C1'</f>
        <v>0</v>
      </c>
      <c r="D13" s="4">
        <f>C13/60</f>
        <v>0</v>
      </c>
      <c r="E13" s="4">
        <v>2.15</v>
      </c>
      <c r="F13" s="4">
        <v>0</v>
      </c>
      <c r="G13" s="4">
        <v>0</v>
      </c>
      <c r="H13" s="4">
        <v>7.4333333333333336</v>
      </c>
      <c r="I13" s="4">
        <v>6.25</v>
      </c>
      <c r="J13" s="4"/>
      <c r="K13" s="4"/>
      <c r="L13" s="4"/>
      <c r="M13" s="4" t="s">
        <v>1</v>
      </c>
      <c r="N13">
        <v>1.28</v>
      </c>
    </row>
    <row r="14" spans="1:14" x14ac:dyDescent="0.25">
      <c r="D14" s="4"/>
      <c r="E14" s="4"/>
      <c r="F14" s="4"/>
      <c r="G14" s="4"/>
      <c r="H14" s="4"/>
      <c r="I14" s="4"/>
      <c r="J14" s="4"/>
      <c r="K14" s="4"/>
      <c r="L14" s="4"/>
      <c r="M14" s="4" t="s">
        <v>2</v>
      </c>
      <c r="N14">
        <v>0.12</v>
      </c>
    </row>
    <row r="15" spans="1:14" x14ac:dyDescent="0.25">
      <c r="D15" s="4"/>
      <c r="E15" s="4"/>
      <c r="F15" s="4"/>
      <c r="G15" s="4"/>
      <c r="H15" s="4"/>
      <c r="I15" s="4"/>
      <c r="J15" s="4"/>
      <c r="K15" s="4"/>
      <c r="L15" s="4"/>
      <c r="M15" s="4" t="s">
        <v>3</v>
      </c>
      <c r="N15">
        <v>7.43</v>
      </c>
    </row>
    <row r="16" spans="1:14" x14ac:dyDescent="0.25">
      <c r="D16" s="4"/>
      <c r="E16" s="4"/>
      <c r="F16" s="4"/>
      <c r="G16" s="4"/>
      <c r="H16" s="4"/>
      <c r="I16" s="4"/>
      <c r="J16" s="4"/>
      <c r="K16" s="4"/>
      <c r="L16" s="4"/>
      <c r="M16" s="4" t="s">
        <v>4</v>
      </c>
      <c r="N16">
        <v>6.25</v>
      </c>
    </row>
    <row r="17" spans="4:14" x14ac:dyDescent="0.25">
      <c r="D17" s="4"/>
      <c r="E17" s="4"/>
      <c r="F17" s="4"/>
      <c r="G17" s="4"/>
      <c r="H17" s="4"/>
      <c r="I17" s="4"/>
      <c r="J17" s="4"/>
      <c r="K17" s="4"/>
      <c r="L17" s="4"/>
      <c r="M17" s="4" t="s">
        <v>5</v>
      </c>
      <c r="N17">
        <v>0</v>
      </c>
    </row>
    <row r="18" spans="4:14" x14ac:dyDescent="0.25">
      <c r="D18" s="4"/>
      <c r="E18" s="4"/>
      <c r="F18" s="4"/>
      <c r="G18" s="4"/>
      <c r="H18" s="4"/>
      <c r="I18" s="4"/>
      <c r="J18" s="4"/>
      <c r="K18" s="4"/>
      <c r="L18" s="4"/>
      <c r="M18" s="4" t="s">
        <v>6</v>
      </c>
      <c r="N18">
        <v>0</v>
      </c>
    </row>
    <row r="26" spans="4:14" x14ac:dyDescent="0.25">
      <c r="E26">
        <f t="array" ref="E26">[4]!'N7:0,L1,C1'</f>
        <v>0</v>
      </c>
    </row>
  </sheetData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044F9-843A-418A-A9EA-9E681B244E5E}">
  <sheetPr codeName="Sheet2"/>
  <dimension ref="A1:Y21"/>
  <sheetViews>
    <sheetView workbookViewId="0">
      <selection activeCell="F28" sqref="F28"/>
    </sheetView>
  </sheetViews>
  <sheetFormatPr defaultRowHeight="15" x14ac:dyDescent="0.25"/>
  <cols>
    <col min="1" max="1" width="12" customWidth="1"/>
    <col min="2" max="4" width="11.28515625" customWidth="1"/>
    <col min="5" max="5" width="12.28515625" customWidth="1"/>
    <col min="6" max="6" width="13.28515625" customWidth="1"/>
    <col min="7" max="7" width="13.42578125" customWidth="1"/>
    <col min="8" max="8" width="12.5703125" customWidth="1"/>
    <col min="9" max="16" width="11.5703125" customWidth="1"/>
    <col min="17" max="17" width="12.5703125" customWidth="1"/>
    <col min="18" max="18" width="13.42578125" customWidth="1"/>
    <col min="19" max="19" width="13.28515625" customWidth="1"/>
    <col min="20" max="20" width="12.28515625" customWidth="1"/>
    <col min="21" max="25" width="11.28515625" customWidth="1"/>
  </cols>
  <sheetData>
    <row r="1" spans="1:25" x14ac:dyDescent="0.25">
      <c r="A1" t="s">
        <v>36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28</v>
      </c>
      <c r="Q1" t="s">
        <v>22</v>
      </c>
      <c r="R1" t="s">
        <v>29</v>
      </c>
      <c r="S1" t="s">
        <v>30</v>
      </c>
      <c r="T1" t="s">
        <v>23</v>
      </c>
      <c r="U1" t="s">
        <v>24</v>
      </c>
      <c r="V1" t="s">
        <v>25</v>
      </c>
      <c r="W1" t="s">
        <v>26</v>
      </c>
      <c r="X1" s="1" t="s">
        <v>27</v>
      </c>
      <c r="Y1" t="s">
        <v>7</v>
      </c>
    </row>
    <row r="2" spans="1:25" x14ac:dyDescent="0.25">
      <c r="A2" t="s">
        <v>0</v>
      </c>
      <c r="B2">
        <v>2</v>
      </c>
      <c r="C2">
        <v>170</v>
      </c>
      <c r="D2">
        <v>154</v>
      </c>
      <c r="E2">
        <v>193</v>
      </c>
      <c r="F2">
        <v>216</v>
      </c>
      <c r="G2">
        <v>200</v>
      </c>
      <c r="H2">
        <v>185</v>
      </c>
      <c r="I2">
        <v>203</v>
      </c>
      <c r="J2">
        <v>211</v>
      </c>
      <c r="K2">
        <v>37</v>
      </c>
      <c r="L2">
        <v>178</v>
      </c>
      <c r="M2">
        <v>137</v>
      </c>
      <c r="N2">
        <v>167</v>
      </c>
      <c r="O2">
        <v>135</v>
      </c>
      <c r="P2">
        <v>218</v>
      </c>
      <c r="Q2">
        <v>115</v>
      </c>
      <c r="R2">
        <v>231</v>
      </c>
      <c r="S2">
        <v>242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1</v>
      </c>
      <c r="B3">
        <v>136</v>
      </c>
      <c r="C3">
        <v>135</v>
      </c>
      <c r="D3">
        <v>207</v>
      </c>
      <c r="E3">
        <v>223</v>
      </c>
      <c r="F3">
        <v>231</v>
      </c>
      <c r="G3">
        <v>209</v>
      </c>
      <c r="H3">
        <v>32</v>
      </c>
      <c r="I3">
        <v>105</v>
      </c>
      <c r="J3">
        <v>186</v>
      </c>
      <c r="K3">
        <v>157</v>
      </c>
      <c r="L3">
        <v>75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242</v>
      </c>
      <c r="U3">
        <v>244</v>
      </c>
      <c r="V3">
        <v>199</v>
      </c>
      <c r="W3">
        <v>241</v>
      </c>
      <c r="X3">
        <v>226</v>
      </c>
      <c r="Y3">
        <v>138</v>
      </c>
    </row>
    <row r="4" spans="1:25" x14ac:dyDescent="0.25">
      <c r="A4" t="s">
        <v>2</v>
      </c>
      <c r="B4">
        <v>120</v>
      </c>
      <c r="C4">
        <v>224</v>
      </c>
      <c r="D4">
        <v>8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1</v>
      </c>
    </row>
    <row r="5" spans="1:25" x14ac:dyDescent="0.25">
      <c r="A5" t="s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11" spans="1:25" x14ac:dyDescent="0.25">
      <c r="B11">
        <v>117</v>
      </c>
      <c r="C11">
        <v>24</v>
      </c>
      <c r="D11">
        <v>31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2</v>
      </c>
    </row>
    <row r="12" spans="1:25" x14ac:dyDescent="0.25">
      <c r="B12">
        <v>0</v>
      </c>
      <c r="C12">
        <v>19</v>
      </c>
      <c r="D12">
        <v>240</v>
      </c>
      <c r="E12">
        <v>247</v>
      </c>
      <c r="F12">
        <v>242</v>
      </c>
      <c r="G12">
        <v>244</v>
      </c>
      <c r="H12">
        <v>194</v>
      </c>
      <c r="I12">
        <v>246</v>
      </c>
      <c r="J12">
        <v>203</v>
      </c>
      <c r="K12">
        <v>239</v>
      </c>
      <c r="L12">
        <v>247</v>
      </c>
      <c r="M12">
        <v>196</v>
      </c>
      <c r="N12">
        <v>210</v>
      </c>
      <c r="O12">
        <v>229</v>
      </c>
      <c r="P12">
        <v>243</v>
      </c>
      <c r="Q12">
        <v>205</v>
      </c>
      <c r="R12">
        <v>124</v>
      </c>
      <c r="S12">
        <v>7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25">
      <c r="B13">
        <v>164</v>
      </c>
      <c r="C13">
        <v>240</v>
      </c>
      <c r="D13">
        <v>153</v>
      </c>
      <c r="E13">
        <v>213</v>
      </c>
      <c r="F13">
        <v>244</v>
      </c>
      <c r="G13">
        <v>247</v>
      </c>
      <c r="H13">
        <v>235</v>
      </c>
      <c r="I13">
        <v>200</v>
      </c>
      <c r="J13">
        <v>243</v>
      </c>
      <c r="K13">
        <v>247</v>
      </c>
      <c r="L13">
        <v>245</v>
      </c>
      <c r="M13">
        <v>199</v>
      </c>
      <c r="N13">
        <v>193</v>
      </c>
      <c r="O13">
        <v>247</v>
      </c>
      <c r="P13">
        <v>246</v>
      </c>
      <c r="Q13">
        <v>248</v>
      </c>
      <c r="R13">
        <v>158</v>
      </c>
      <c r="S13">
        <v>225</v>
      </c>
      <c r="T13">
        <v>80</v>
      </c>
      <c r="U13">
        <v>213</v>
      </c>
      <c r="V13">
        <v>240</v>
      </c>
      <c r="W13">
        <v>230</v>
      </c>
      <c r="X13">
        <v>212</v>
      </c>
      <c r="Y13">
        <v>94</v>
      </c>
    </row>
    <row r="14" spans="1:25" x14ac:dyDescent="0.25">
      <c r="B14">
        <v>212</v>
      </c>
      <c r="C14">
        <v>246</v>
      </c>
      <c r="D14">
        <v>204</v>
      </c>
      <c r="E14">
        <v>244</v>
      </c>
      <c r="F14">
        <v>116</v>
      </c>
      <c r="G14">
        <v>0</v>
      </c>
      <c r="H14">
        <v>182</v>
      </c>
      <c r="I14">
        <v>240</v>
      </c>
      <c r="J14">
        <v>232</v>
      </c>
      <c r="K14">
        <v>207</v>
      </c>
      <c r="L14">
        <v>0</v>
      </c>
      <c r="M14">
        <v>0</v>
      </c>
      <c r="N14">
        <v>7</v>
      </c>
      <c r="O14">
        <v>1</v>
      </c>
      <c r="P14">
        <v>157</v>
      </c>
      <c r="Q14">
        <v>235</v>
      </c>
      <c r="R14">
        <v>218</v>
      </c>
      <c r="S14">
        <v>169</v>
      </c>
      <c r="T14">
        <v>207</v>
      </c>
      <c r="U14">
        <v>202</v>
      </c>
      <c r="V14">
        <v>199</v>
      </c>
      <c r="W14">
        <v>198</v>
      </c>
      <c r="X14">
        <v>132</v>
      </c>
      <c r="Y14">
        <v>191</v>
      </c>
    </row>
    <row r="15" spans="1:25" x14ac:dyDescent="0.25">
      <c r="B15">
        <v>165</v>
      </c>
      <c r="C15">
        <v>235</v>
      </c>
      <c r="D15">
        <v>163</v>
      </c>
      <c r="E15">
        <v>242</v>
      </c>
      <c r="F15">
        <v>238</v>
      </c>
      <c r="G15">
        <v>243</v>
      </c>
      <c r="H15">
        <v>230</v>
      </c>
      <c r="I15">
        <v>233</v>
      </c>
      <c r="J15">
        <v>243</v>
      </c>
      <c r="K15">
        <v>143</v>
      </c>
      <c r="L15">
        <v>2</v>
      </c>
      <c r="M15">
        <v>27</v>
      </c>
      <c r="N15">
        <v>66</v>
      </c>
      <c r="O15">
        <v>60</v>
      </c>
      <c r="P15">
        <v>4</v>
      </c>
      <c r="Q15">
        <v>0</v>
      </c>
      <c r="R15">
        <v>0</v>
      </c>
      <c r="S15">
        <v>0</v>
      </c>
      <c r="T15">
        <v>222</v>
      </c>
      <c r="U15">
        <v>223</v>
      </c>
      <c r="V15">
        <v>209</v>
      </c>
      <c r="W15">
        <v>217</v>
      </c>
      <c r="X15">
        <v>211</v>
      </c>
      <c r="Y15">
        <v>170</v>
      </c>
    </row>
    <row r="16" spans="1:25" x14ac:dyDescent="0.25"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25"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20" spans="1:25" x14ac:dyDescent="0.25">
      <c r="A20" t="s">
        <v>31</v>
      </c>
    </row>
    <row r="21" spans="1:25" ht="18.75" x14ac:dyDescent="0.3">
      <c r="A21" s="2" cm="1">
        <f t="array" ref="A21">[3]!'N100:3,L1,C1'</f>
        <v>13310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C467E-9E50-4CC6-959C-0CEE0ABD8AFE}">
  <sheetPr codeName="Sheet5"/>
  <dimension ref="A1:N20"/>
  <sheetViews>
    <sheetView workbookViewId="0">
      <selection activeCell="H26" sqref="H26"/>
    </sheetView>
  </sheetViews>
  <sheetFormatPr defaultRowHeight="15" x14ac:dyDescent="0.25"/>
  <sheetData>
    <row r="1" spans="1:14" x14ac:dyDescent="0.25">
      <c r="A1" s="3">
        <v>471</v>
      </c>
      <c r="B1" t="s">
        <v>37</v>
      </c>
      <c r="C1" t="s">
        <v>39</v>
      </c>
      <c r="D1" t="s">
        <v>38</v>
      </c>
      <c r="E1" t="s">
        <v>0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M1" t="s">
        <v>36</v>
      </c>
      <c r="N1" t="s">
        <v>44</v>
      </c>
    </row>
    <row r="2" spans="1:14" x14ac:dyDescent="0.25">
      <c r="B2" t="s">
        <v>41</v>
      </c>
      <c r="C2" cm="1">
        <f t="array" ref="C2">[2]!'T21:21.ACC,L1,C1'</f>
        <v>30</v>
      </c>
      <c r="D2" s="4">
        <f>C2/60</f>
        <v>0.5</v>
      </c>
      <c r="E2" s="4">
        <v>0</v>
      </c>
      <c r="F2" s="4" t="e">
        <v>#N/A</v>
      </c>
      <c r="G2">
        <v>0.5</v>
      </c>
      <c r="H2" s="4">
        <v>0</v>
      </c>
      <c r="I2" s="4">
        <v>0</v>
      </c>
      <c r="J2" s="4">
        <v>0</v>
      </c>
      <c r="K2" s="4">
        <v>0</v>
      </c>
      <c r="M2" t="s">
        <v>0</v>
      </c>
      <c r="N2">
        <v>1.77</v>
      </c>
    </row>
    <row r="3" spans="1:14" x14ac:dyDescent="0.25">
      <c r="B3" t="s">
        <v>42</v>
      </c>
      <c r="C3" cm="1">
        <f t="array" ref="C3">[2]!'T21:8.ACC,L1,C1'</f>
        <v>0</v>
      </c>
      <c r="D3" s="4">
        <f>C3/60</f>
        <v>0</v>
      </c>
      <c r="E3" s="4">
        <v>1.7666666666666666</v>
      </c>
      <c r="F3" s="4" t="e">
        <v>#N/A</v>
      </c>
      <c r="G3" s="4">
        <v>0</v>
      </c>
      <c r="H3" s="4">
        <v>3.0833333333333335</v>
      </c>
      <c r="I3" s="4">
        <v>8.9499999999999993</v>
      </c>
      <c r="J3" s="4">
        <v>0</v>
      </c>
      <c r="K3" s="4">
        <v>0</v>
      </c>
      <c r="M3" t="s">
        <v>1</v>
      </c>
      <c r="N3" s="5">
        <v>19.899999999999999</v>
      </c>
    </row>
    <row r="4" spans="1:14" x14ac:dyDescent="0.25">
      <c r="B4" t="s">
        <v>43</v>
      </c>
      <c r="D4" s="4"/>
      <c r="E4" s="4"/>
      <c r="F4" s="4"/>
      <c r="G4" s="4"/>
      <c r="H4" s="4"/>
      <c r="I4" s="4"/>
      <c r="J4" s="4"/>
      <c r="K4" s="4"/>
      <c r="M4" t="s">
        <v>2</v>
      </c>
      <c r="N4" s="5">
        <v>0.5</v>
      </c>
    </row>
    <row r="5" spans="1:14" x14ac:dyDescent="0.25">
      <c r="M5" t="s">
        <v>3</v>
      </c>
      <c r="N5" s="5">
        <v>3.08</v>
      </c>
    </row>
    <row r="6" spans="1:14" x14ac:dyDescent="0.25">
      <c r="M6" t="s">
        <v>4</v>
      </c>
      <c r="N6" s="5">
        <v>8.9499999999999993</v>
      </c>
    </row>
    <row r="7" spans="1:14" x14ac:dyDescent="0.25">
      <c r="M7" t="s">
        <v>5</v>
      </c>
      <c r="N7" s="5">
        <v>0</v>
      </c>
    </row>
    <row r="8" spans="1:14" x14ac:dyDescent="0.25">
      <c r="M8" t="s">
        <v>6</v>
      </c>
      <c r="N8" s="5">
        <v>0</v>
      </c>
    </row>
    <row r="9" spans="1:14" x14ac:dyDescent="0.25">
      <c r="N9" s="5"/>
    </row>
    <row r="10" spans="1:14" x14ac:dyDescent="0.25">
      <c r="N10" s="5"/>
    </row>
    <row r="11" spans="1:14" x14ac:dyDescent="0.25">
      <c r="A11">
        <v>471</v>
      </c>
      <c r="B11" t="s">
        <v>40</v>
      </c>
      <c r="C11" t="s">
        <v>46</v>
      </c>
      <c r="D11" t="s">
        <v>47</v>
      </c>
      <c r="E11" t="s">
        <v>0</v>
      </c>
      <c r="F11" t="s">
        <v>1</v>
      </c>
      <c r="G11" t="s">
        <v>2</v>
      </c>
      <c r="H11" t="s">
        <v>3</v>
      </c>
      <c r="I11" t="s">
        <v>4</v>
      </c>
      <c r="J11" t="s">
        <v>5</v>
      </c>
      <c r="K11" t="s">
        <v>6</v>
      </c>
      <c r="M11" t="s">
        <v>36</v>
      </c>
      <c r="N11" s="5" t="s">
        <v>44</v>
      </c>
    </row>
    <row r="12" spans="1:14" x14ac:dyDescent="0.25">
      <c r="B12" t="s">
        <v>41</v>
      </c>
      <c r="C12" cm="1">
        <f t="array" ref="C12">[2]!'T21:20.ACC,L1,C1'</f>
        <v>7</v>
      </c>
      <c r="D12" s="4">
        <f>C12/60</f>
        <v>0.11666666666666667</v>
      </c>
      <c r="E12" s="4">
        <v>0</v>
      </c>
      <c r="F12" s="4">
        <v>1.2833333333333334</v>
      </c>
      <c r="G12" s="4">
        <v>0.11666666666666667</v>
      </c>
      <c r="H12" s="4">
        <v>0</v>
      </c>
      <c r="I12" s="4">
        <v>0</v>
      </c>
      <c r="J12" s="4">
        <v>0</v>
      </c>
      <c r="K12" s="4">
        <v>0</v>
      </c>
      <c r="L12" s="4"/>
      <c r="M12" s="4" t="s">
        <v>0</v>
      </c>
      <c r="N12">
        <v>2.15</v>
      </c>
    </row>
    <row r="13" spans="1:14" x14ac:dyDescent="0.25">
      <c r="B13" t="s">
        <v>45</v>
      </c>
      <c r="C13" cm="1">
        <f t="array" ref="C13">[2]!'T21:13.ACC,L1,C1'</f>
        <v>0</v>
      </c>
      <c r="D13" s="4">
        <f>C13/60</f>
        <v>0</v>
      </c>
      <c r="E13" s="4">
        <v>2.15</v>
      </c>
      <c r="F13" s="4">
        <v>0</v>
      </c>
      <c r="G13" s="4">
        <v>0</v>
      </c>
      <c r="H13" s="4">
        <v>7.4333333333333336</v>
      </c>
      <c r="I13" s="4">
        <v>6.25</v>
      </c>
      <c r="J13" s="4">
        <v>0</v>
      </c>
      <c r="K13" s="4">
        <v>0</v>
      </c>
      <c r="L13" s="4"/>
      <c r="M13" s="4" t="s">
        <v>1</v>
      </c>
      <c r="N13">
        <v>1.28</v>
      </c>
    </row>
    <row r="14" spans="1:14" x14ac:dyDescent="0.25">
      <c r="D14" s="4"/>
      <c r="E14" s="4"/>
      <c r="F14" s="4"/>
      <c r="G14" s="4"/>
      <c r="H14" s="4"/>
      <c r="I14" s="4"/>
      <c r="J14" s="4"/>
      <c r="K14" s="4"/>
      <c r="L14" s="4"/>
      <c r="M14" s="4" t="s">
        <v>2</v>
      </c>
      <c r="N14">
        <v>0.12</v>
      </c>
    </row>
    <row r="15" spans="1:14" x14ac:dyDescent="0.25">
      <c r="D15" s="4"/>
      <c r="E15" s="4"/>
      <c r="F15" s="4"/>
      <c r="G15" s="4"/>
      <c r="H15" s="4"/>
      <c r="I15" s="4"/>
      <c r="J15" s="4"/>
      <c r="K15" s="4"/>
      <c r="L15" s="4"/>
      <c r="M15" s="4" t="s">
        <v>3</v>
      </c>
      <c r="N15">
        <v>7.43</v>
      </c>
    </row>
    <row r="16" spans="1:14" x14ac:dyDescent="0.25">
      <c r="D16" s="4"/>
      <c r="E16" s="4"/>
      <c r="F16" s="4"/>
      <c r="G16" s="4"/>
      <c r="H16" s="4"/>
      <c r="I16" s="4"/>
      <c r="J16" s="4"/>
      <c r="K16" s="4"/>
      <c r="L16" s="4"/>
      <c r="M16" s="4" t="s">
        <v>4</v>
      </c>
      <c r="N16">
        <v>6.25</v>
      </c>
    </row>
    <row r="17" spans="4:14" x14ac:dyDescent="0.25">
      <c r="D17" s="4"/>
      <c r="E17" s="4"/>
      <c r="F17" s="4"/>
      <c r="G17" s="4"/>
      <c r="H17" s="4"/>
      <c r="I17" s="4"/>
      <c r="J17" s="4"/>
      <c r="K17" s="4"/>
      <c r="L17" s="4"/>
      <c r="M17" s="4" t="s">
        <v>5</v>
      </c>
      <c r="N17">
        <v>0</v>
      </c>
    </row>
    <row r="18" spans="4:14" x14ac:dyDescent="0.25">
      <c r="D18" s="4"/>
      <c r="E18" s="4"/>
      <c r="F18" s="4"/>
      <c r="G18" s="4"/>
      <c r="H18" s="4"/>
      <c r="I18" s="4"/>
      <c r="J18" s="4"/>
      <c r="K18" s="4"/>
      <c r="L18" s="4"/>
      <c r="M18" s="4" t="s">
        <v>6</v>
      </c>
      <c r="N18">
        <v>0</v>
      </c>
    </row>
    <row r="20" spans="4:14" x14ac:dyDescent="0.25">
      <c r="G20" t="s">
        <v>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34FD0-7362-4594-BCBC-CB5D8ED74153}">
  <sheetPr codeName="Sheet3"/>
  <dimension ref="A1:C18"/>
  <sheetViews>
    <sheetView workbookViewId="0">
      <selection activeCell="H21" sqref="H21"/>
    </sheetView>
  </sheetViews>
  <sheetFormatPr defaultRowHeight="15" x14ac:dyDescent="0.25"/>
  <cols>
    <col min="1" max="1" width="15" bestFit="1" customWidth="1"/>
  </cols>
  <sheetData>
    <row r="1" spans="1:3" x14ac:dyDescent="0.25">
      <c r="A1" t="s">
        <v>32</v>
      </c>
    </row>
    <row r="2" spans="1:3" x14ac:dyDescent="0.25">
      <c r="A2" s="3">
        <v>471</v>
      </c>
      <c r="B2">
        <f>SUM('471'!B2:Y8)</f>
        <v>6333</v>
      </c>
    </row>
    <row r="3" spans="1:3" x14ac:dyDescent="0.25">
      <c r="A3" s="3">
        <v>474</v>
      </c>
      <c r="B3">
        <f>SUM('474'!B2:Y8)</f>
        <v>8353</v>
      </c>
    </row>
    <row r="16" spans="1:3" x14ac:dyDescent="0.25">
      <c r="A16" t="s">
        <v>33</v>
      </c>
      <c r="B16">
        <f>INDEX(A2:A3, MATCH(MAX(B2:B3), B2:B3, 0))</f>
        <v>474</v>
      </c>
      <c r="C16">
        <f>MAX(B2:B15)</f>
        <v>8353</v>
      </c>
    </row>
    <row r="17" spans="1:3" x14ac:dyDescent="0.25">
      <c r="A17" t="s">
        <v>34</v>
      </c>
      <c r="B17">
        <f>INDEX(A2:A3, MATCH(MIN(B2:B3), B2:B3, 0))</f>
        <v>471</v>
      </c>
      <c r="C17">
        <f>MIN(B2:B15)</f>
        <v>6333</v>
      </c>
    </row>
    <row r="18" spans="1:3" x14ac:dyDescent="0.25">
      <c r="A18" t="s">
        <v>35</v>
      </c>
      <c r="C18">
        <f>C16-C17</f>
        <v>2020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F60B6-7D2F-4833-960A-F976073ABDC0}">
  <sheetPr codeName="Sheet6"/>
  <dimension ref="A1:Y21"/>
  <sheetViews>
    <sheetView workbookViewId="0">
      <selection activeCell="E27" sqref="E27"/>
    </sheetView>
  </sheetViews>
  <sheetFormatPr defaultRowHeight="15" x14ac:dyDescent="0.25"/>
  <sheetData>
    <row r="1" spans="1:25" x14ac:dyDescent="0.25">
      <c r="A1" t="s">
        <v>36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28</v>
      </c>
      <c r="Q1" t="s">
        <v>22</v>
      </c>
      <c r="R1" t="s">
        <v>29</v>
      </c>
      <c r="S1" t="s">
        <v>30</v>
      </c>
      <c r="T1" t="s">
        <v>23</v>
      </c>
      <c r="U1" t="s">
        <v>24</v>
      </c>
      <c r="V1" t="s">
        <v>25</v>
      </c>
      <c r="W1" t="s">
        <v>26</v>
      </c>
      <c r="X1" s="1" t="s">
        <v>27</v>
      </c>
      <c r="Y1" t="s">
        <v>7</v>
      </c>
    </row>
    <row r="2" spans="1:25" x14ac:dyDescent="0.25">
      <c r="A2" t="s">
        <v>0</v>
      </c>
      <c r="B2">
        <v>36</v>
      </c>
      <c r="C2">
        <v>301</v>
      </c>
      <c r="D2">
        <v>228</v>
      </c>
      <c r="E2">
        <v>1</v>
      </c>
      <c r="F2">
        <v>190</v>
      </c>
      <c r="G2">
        <v>177</v>
      </c>
      <c r="H2">
        <v>246</v>
      </c>
      <c r="I2">
        <v>279</v>
      </c>
      <c r="J2">
        <v>282</v>
      </c>
      <c r="K2">
        <v>291</v>
      </c>
      <c r="L2">
        <v>287</v>
      </c>
      <c r="M2">
        <v>242</v>
      </c>
      <c r="N2">
        <v>233</v>
      </c>
      <c r="O2">
        <v>305</v>
      </c>
      <c r="P2">
        <v>286</v>
      </c>
      <c r="Q2">
        <v>296</v>
      </c>
      <c r="R2">
        <v>313</v>
      </c>
      <c r="S2">
        <v>300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1</v>
      </c>
      <c r="B3">
        <v>227</v>
      </c>
      <c r="C3">
        <v>329</v>
      </c>
      <c r="D3">
        <v>314</v>
      </c>
      <c r="E3">
        <v>331</v>
      </c>
      <c r="F3">
        <v>310</v>
      </c>
      <c r="G3">
        <v>258</v>
      </c>
      <c r="H3">
        <v>190</v>
      </c>
      <c r="I3">
        <v>262</v>
      </c>
      <c r="J3">
        <v>326</v>
      </c>
      <c r="K3">
        <v>296</v>
      </c>
      <c r="L3">
        <v>134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321</v>
      </c>
      <c r="U3">
        <v>320</v>
      </c>
      <c r="V3">
        <v>328</v>
      </c>
      <c r="W3">
        <v>322</v>
      </c>
      <c r="X3">
        <v>320</v>
      </c>
      <c r="Y3">
        <v>246</v>
      </c>
    </row>
    <row r="4" spans="1:25" x14ac:dyDescent="0.25">
      <c r="A4" t="s">
        <v>2</v>
      </c>
      <c r="B4">
        <v>203</v>
      </c>
      <c r="C4">
        <v>237</v>
      </c>
      <c r="D4">
        <v>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4</v>
      </c>
    </row>
    <row r="5" spans="1:25" x14ac:dyDescent="0.25">
      <c r="A5" t="s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21" spans="1:1" x14ac:dyDescent="0.25">
      <c r="A21" cm="1">
        <f t="array" ref="A21">[4]!'N800:3,L1,C1'</f>
        <v>1265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BCB9E-BB22-4A81-B0C7-E10056C4B093}">
  <sheetPr codeName="Sheet7"/>
  <dimension ref="A1:Y21"/>
  <sheetViews>
    <sheetView workbookViewId="0">
      <selection activeCell="J4" sqref="J4"/>
    </sheetView>
  </sheetViews>
  <sheetFormatPr defaultRowHeight="15" x14ac:dyDescent="0.25"/>
  <sheetData>
    <row r="1" spans="1:25" x14ac:dyDescent="0.25">
      <c r="A1" t="s">
        <v>36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28</v>
      </c>
      <c r="Q1" t="s">
        <v>22</v>
      </c>
      <c r="R1" t="s">
        <v>29</v>
      </c>
      <c r="S1" t="s">
        <v>30</v>
      </c>
      <c r="T1" t="s">
        <v>23</v>
      </c>
      <c r="U1" t="s">
        <v>24</v>
      </c>
      <c r="V1" t="s">
        <v>25</v>
      </c>
      <c r="W1" t="s">
        <v>26</v>
      </c>
      <c r="X1" s="1" t="s">
        <v>27</v>
      </c>
      <c r="Y1" t="s">
        <v>7</v>
      </c>
    </row>
    <row r="2" spans="1:25" x14ac:dyDescent="0.25">
      <c r="A2" t="s">
        <v>0</v>
      </c>
      <c r="B2">
        <v>28</v>
      </c>
      <c r="C2">
        <v>179</v>
      </c>
      <c r="D2">
        <v>173</v>
      </c>
      <c r="E2">
        <v>112</v>
      </c>
      <c r="F2">
        <v>1</v>
      </c>
      <c r="G2">
        <v>172</v>
      </c>
      <c r="H2">
        <v>212</v>
      </c>
      <c r="I2">
        <v>208</v>
      </c>
      <c r="J2">
        <v>185</v>
      </c>
      <c r="K2">
        <v>58</v>
      </c>
      <c r="L2">
        <v>180</v>
      </c>
      <c r="M2">
        <v>118</v>
      </c>
      <c r="N2">
        <v>174</v>
      </c>
      <c r="O2">
        <v>149</v>
      </c>
      <c r="P2">
        <v>200</v>
      </c>
      <c r="Q2">
        <v>149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1</v>
      </c>
      <c r="B3">
        <v>3</v>
      </c>
      <c r="C3">
        <v>242</v>
      </c>
      <c r="D3">
        <v>236</v>
      </c>
      <c r="E3">
        <v>232</v>
      </c>
      <c r="F3">
        <v>237</v>
      </c>
      <c r="G3">
        <v>159</v>
      </c>
      <c r="H3">
        <v>29</v>
      </c>
      <c r="I3">
        <v>127</v>
      </c>
      <c r="J3">
        <v>296</v>
      </c>
      <c r="K3">
        <v>7</v>
      </c>
      <c r="L3">
        <v>90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1</v>
      </c>
      <c r="W3">
        <v>0</v>
      </c>
      <c r="X3">
        <v>0</v>
      </c>
      <c r="Y3">
        <v>0</v>
      </c>
    </row>
    <row r="4" spans="1:25" x14ac:dyDescent="0.25">
      <c r="A4" t="s">
        <v>2</v>
      </c>
      <c r="B4">
        <v>140</v>
      </c>
      <c r="C4">
        <v>222</v>
      </c>
      <c r="D4">
        <v>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3</v>
      </c>
    </row>
    <row r="5" spans="1:25" x14ac:dyDescent="0.25">
      <c r="A5" t="s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21" spans="1:1" x14ac:dyDescent="0.25">
      <c r="A21" cm="1">
        <f t="array" ref="A21">[5]!'N600:3,L1,C1'</f>
        <v>21413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7ADE0-CF27-4CFB-BA2D-DDFBDE37AD53}">
  <sheetPr codeName="Sheet8"/>
  <dimension ref="A1:Y21"/>
  <sheetViews>
    <sheetView workbookViewId="0">
      <selection activeCell="V18" sqref="V18"/>
    </sheetView>
  </sheetViews>
  <sheetFormatPr defaultRowHeight="15" x14ac:dyDescent="0.25"/>
  <sheetData>
    <row r="1" spans="1:25" x14ac:dyDescent="0.25">
      <c r="A1" t="s">
        <v>36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28</v>
      </c>
      <c r="Q1" t="s">
        <v>22</v>
      </c>
      <c r="R1" t="s">
        <v>29</v>
      </c>
      <c r="S1" t="s">
        <v>30</v>
      </c>
      <c r="T1" t="s">
        <v>23</v>
      </c>
      <c r="U1" t="s">
        <v>24</v>
      </c>
      <c r="V1" t="s">
        <v>25</v>
      </c>
      <c r="W1" t="s">
        <v>26</v>
      </c>
      <c r="X1" s="1" t="s">
        <v>27</v>
      </c>
      <c r="Y1" t="s">
        <v>7</v>
      </c>
    </row>
    <row r="2" spans="1:25" x14ac:dyDescent="0.25">
      <c r="A2" t="s">
        <v>0</v>
      </c>
      <c r="B2">
        <v>23</v>
      </c>
      <c r="C2">
        <v>212</v>
      </c>
      <c r="D2">
        <v>212</v>
      </c>
      <c r="E2">
        <v>204</v>
      </c>
      <c r="F2">
        <v>216</v>
      </c>
      <c r="G2">
        <v>210</v>
      </c>
      <c r="H2">
        <v>214</v>
      </c>
      <c r="I2">
        <v>207</v>
      </c>
      <c r="J2">
        <v>211</v>
      </c>
      <c r="K2">
        <v>214</v>
      </c>
      <c r="L2">
        <v>207</v>
      </c>
      <c r="M2">
        <v>145</v>
      </c>
      <c r="N2">
        <v>69</v>
      </c>
      <c r="O2">
        <v>192</v>
      </c>
      <c r="P2">
        <v>206</v>
      </c>
      <c r="Q2">
        <v>186</v>
      </c>
      <c r="R2">
        <v>214</v>
      </c>
      <c r="S2">
        <v>203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25">
      <c r="A3" t="s">
        <v>1</v>
      </c>
      <c r="B3">
        <v>181</v>
      </c>
      <c r="C3">
        <v>80</v>
      </c>
      <c r="D3">
        <v>118</v>
      </c>
      <c r="E3">
        <v>211</v>
      </c>
      <c r="F3">
        <v>200</v>
      </c>
      <c r="G3">
        <v>188</v>
      </c>
      <c r="H3">
        <v>194</v>
      </c>
      <c r="I3">
        <v>182</v>
      </c>
      <c r="J3">
        <v>197</v>
      </c>
      <c r="K3">
        <v>213</v>
      </c>
      <c r="L3">
        <v>68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200</v>
      </c>
      <c r="U3">
        <v>212</v>
      </c>
      <c r="V3">
        <v>211</v>
      </c>
      <c r="W3">
        <v>202</v>
      </c>
      <c r="X3">
        <v>183</v>
      </c>
      <c r="Y3">
        <v>146</v>
      </c>
    </row>
    <row r="4" spans="1:25" x14ac:dyDescent="0.25">
      <c r="A4" t="s">
        <v>2</v>
      </c>
      <c r="B4">
        <v>83</v>
      </c>
      <c r="C4">
        <v>177</v>
      </c>
      <c r="D4">
        <v>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200</v>
      </c>
      <c r="U4">
        <v>222</v>
      </c>
      <c r="V4">
        <v>198</v>
      </c>
      <c r="W4">
        <v>222</v>
      </c>
      <c r="X4">
        <v>145</v>
      </c>
      <c r="Y4">
        <v>163</v>
      </c>
    </row>
    <row r="5" spans="1:25" x14ac:dyDescent="0.25">
      <c r="A5" t="s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25">
      <c r="A6" t="s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25">
      <c r="A7" t="s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25">
      <c r="A8" t="s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21" spans="1:1" x14ac:dyDescent="0.25">
      <c r="A21" cm="1">
        <f t="array" ref="A21">[6]!'DC_Data[3],L1,C1'</f>
        <v>3599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474</vt:lpstr>
      <vt:lpstr>474StarvedBlocked</vt:lpstr>
      <vt:lpstr>471</vt:lpstr>
      <vt:lpstr>471StarvedBlocked</vt:lpstr>
      <vt:lpstr>Home</vt:lpstr>
      <vt:lpstr>424</vt:lpstr>
      <vt:lpstr>429</vt:lpstr>
      <vt:lpstr>458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Miller, Justin</dc:creator>
  <cp:lastModifiedBy>Miller, Justin</cp:lastModifiedBy>
  <dcterms:created xsi:type="dcterms:W3CDTF">2015-06-05T18:17:20Z</dcterms:created>
  <dcterms:modified xsi:type="dcterms:W3CDTF">2023-04-19T20:31:41Z</dcterms:modified>
</cp:coreProperties>
</file>